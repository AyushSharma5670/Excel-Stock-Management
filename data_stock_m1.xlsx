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40717450def411/Documents/"/>
    </mc:Choice>
  </mc:AlternateContent>
  <xr:revisionPtr revIDLastSave="1" documentId="8_{55FF0159-D46D-4C75-A0F3-DC65EAF9F651}" xr6:coauthVersionLast="47" xr6:coauthVersionMax="47" xr10:uidLastSave="{40819A5E-09DC-4274-8A40-3A55EA13D416}"/>
  <bookViews>
    <workbookView xWindow="-108" yWindow="-108" windowWidth="23256" windowHeight="12456" xr2:uid="{00000000-000D-0000-FFFF-FFFF00000000}"/>
  </bookViews>
  <sheets>
    <sheet name="data_stock" sheetId="1" r:id="rId1"/>
    <sheet name="Stock by category" sheetId="2" r:id="rId2"/>
    <sheet name="Top selling product" sheetId="3" r:id="rId3"/>
    <sheet name="Reorder product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11" i="1"/>
  <c r="H12" i="1"/>
  <c r="H13" i="1"/>
  <c r="H14" i="1"/>
  <c r="H15" i="1"/>
  <c r="H19" i="1"/>
  <c r="H27" i="1"/>
  <c r="H29" i="1"/>
  <c r="H31" i="1"/>
  <c r="H32" i="1"/>
  <c r="H33" i="1"/>
  <c r="H34" i="1"/>
  <c r="H35" i="1"/>
  <c r="H36" i="1"/>
  <c r="H37" i="1"/>
  <c r="H38" i="1"/>
  <c r="H39" i="1"/>
  <c r="H41" i="1"/>
  <c r="F3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F13" i="1"/>
  <c r="F15" i="1"/>
  <c r="F16" i="1"/>
  <c r="H16" i="1" s="1"/>
  <c r="F17" i="1"/>
  <c r="H17" i="1" s="1"/>
  <c r="F18" i="1"/>
  <c r="H18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8" i="1"/>
  <c r="H28" i="1" s="1"/>
  <c r="F30" i="1"/>
  <c r="H30" i="1" s="1"/>
  <c r="F31" i="1"/>
  <c r="F33" i="1"/>
  <c r="F34" i="1"/>
  <c r="F35" i="1"/>
  <c r="F36" i="1"/>
  <c r="F37" i="1"/>
  <c r="F40" i="1"/>
  <c r="H40" i="1" s="1"/>
  <c r="F2" i="1"/>
  <c r="H2" i="1" s="1"/>
</calcChain>
</file>

<file path=xl/sharedStrings.xml><?xml version="1.0" encoding="utf-8"?>
<sst xmlns="http://schemas.openxmlformats.org/spreadsheetml/2006/main" count="186" uniqueCount="102">
  <si>
    <t>Product_ID</t>
  </si>
  <si>
    <t>Product_Name</t>
  </si>
  <si>
    <t>Category</t>
  </si>
  <si>
    <t>Stock_In</t>
  </si>
  <si>
    <t>Stock_Out</t>
  </si>
  <si>
    <t>Current_Stock</t>
  </si>
  <si>
    <t>Reorder_Level</t>
  </si>
  <si>
    <t>Status</t>
  </si>
  <si>
    <t>P101</t>
  </si>
  <si>
    <t>Keyboard</t>
  </si>
  <si>
    <t>Electronics</t>
  </si>
  <si>
    <t>P102</t>
  </si>
  <si>
    <t>Mouse</t>
  </si>
  <si>
    <t>P103</t>
  </si>
  <si>
    <t>Monitor</t>
  </si>
  <si>
    <t>P104</t>
  </si>
  <si>
    <t>Laptop Stand</t>
  </si>
  <si>
    <t>P105</t>
  </si>
  <si>
    <t>USB Cable</t>
  </si>
  <si>
    <t>P106</t>
  </si>
  <si>
    <t>HDMI Cable</t>
  </si>
  <si>
    <t>P107</t>
  </si>
  <si>
    <t>Webcam</t>
  </si>
  <si>
    <t>P108</t>
  </si>
  <si>
    <t>Headphones</t>
  </si>
  <si>
    <t>P109</t>
  </si>
  <si>
    <t>Microphone</t>
  </si>
  <si>
    <t>P110</t>
  </si>
  <si>
    <t>Power Bank</t>
  </si>
  <si>
    <t>P111</t>
  </si>
  <si>
    <t>Notebook</t>
  </si>
  <si>
    <t>Stationery</t>
  </si>
  <si>
    <t>P112</t>
  </si>
  <si>
    <t>Pen Pack</t>
  </si>
  <si>
    <t>P113</t>
  </si>
  <si>
    <t>Pencil Box</t>
  </si>
  <si>
    <t>P114</t>
  </si>
  <si>
    <t>Marker Set</t>
  </si>
  <si>
    <t>P115</t>
  </si>
  <si>
    <t>Eraser Pack</t>
  </si>
  <si>
    <t>P116</t>
  </si>
  <si>
    <t>Sticky Notes</t>
  </si>
  <si>
    <t>P117</t>
  </si>
  <si>
    <t>File Folder</t>
  </si>
  <si>
    <t>P118</t>
  </si>
  <si>
    <t>Highlighter Set</t>
  </si>
  <si>
    <t>P119</t>
  </si>
  <si>
    <t>Stapler</t>
  </si>
  <si>
    <t>P120</t>
  </si>
  <si>
    <t>Paper Clips</t>
  </si>
  <si>
    <t>P121</t>
  </si>
  <si>
    <t>Office Chair</t>
  </si>
  <si>
    <t>Furniture</t>
  </si>
  <si>
    <t>P122</t>
  </si>
  <si>
    <t>Office Desk</t>
  </si>
  <si>
    <t>P123</t>
  </si>
  <si>
    <t>Bookshelf</t>
  </si>
  <si>
    <t>P124</t>
  </si>
  <si>
    <t>Storage Cabinet</t>
  </si>
  <si>
    <t>P125</t>
  </si>
  <si>
    <t>Meeting Table</t>
  </si>
  <si>
    <t>P126</t>
  </si>
  <si>
    <t>Whiteboard</t>
  </si>
  <si>
    <t>P127</t>
  </si>
  <si>
    <t>Desk Lamp</t>
  </si>
  <si>
    <t>P128</t>
  </si>
  <si>
    <t>Printer Stand</t>
  </si>
  <si>
    <t>P129</t>
  </si>
  <si>
    <t>Filing Cabinet</t>
  </si>
  <si>
    <t>P130</t>
  </si>
  <si>
    <t>Reception Desk</t>
  </si>
  <si>
    <t>P131</t>
  </si>
  <si>
    <t>Water Bottle</t>
  </si>
  <si>
    <t>Accessories</t>
  </si>
  <si>
    <t>P132</t>
  </si>
  <si>
    <t>Backpack</t>
  </si>
  <si>
    <t>P133</t>
  </si>
  <si>
    <t>Lunch Box</t>
  </si>
  <si>
    <t>P134</t>
  </si>
  <si>
    <t>Mobile Holder</t>
  </si>
  <si>
    <t>P135</t>
  </si>
  <si>
    <t>Tablet Cover</t>
  </si>
  <si>
    <t>P136</t>
  </si>
  <si>
    <t>Screen Cleaner</t>
  </si>
  <si>
    <t>P137</t>
  </si>
  <si>
    <t>USB Hub</t>
  </si>
  <si>
    <t>P138</t>
  </si>
  <si>
    <t>Mouse Pad</t>
  </si>
  <si>
    <t>P139</t>
  </si>
  <si>
    <t>Cable Organizer</t>
  </si>
  <si>
    <t>P140</t>
  </si>
  <si>
    <t>Phone Stand</t>
  </si>
  <si>
    <t>Sum of Current_Stock</t>
  </si>
  <si>
    <t>Row Labels</t>
  </si>
  <si>
    <t>Grand Total</t>
  </si>
  <si>
    <t>Sum of Stock_Out</t>
  </si>
  <si>
    <t>OK</t>
  </si>
  <si>
    <t>Reorder</t>
  </si>
  <si>
    <t>Count of Product_ID</t>
  </si>
  <si>
    <t>Stock By Category</t>
  </si>
  <si>
    <t>Top Selling Data</t>
  </si>
  <si>
    <t>Reorder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</si>
</sst>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[data_stock_m1.xlsx]Stock by 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'Stock by category'!$A$4:$A$8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'Stock by category'!$B$4:$B$8</c:f>
              <c:numCache>
                <c:formatCode>General</c:formatCode>
                <c:ptCount val="4"/>
                <c:pt idx="0">
                  <c:v>336</c:v>
                </c:pt>
                <c:pt idx="1">
                  <c:v>525</c:v>
                </c:pt>
                <c:pt idx="2">
                  <c:v>169</c:v>
                </c:pt>
                <c:pt idx="3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9-4BB6-BD02-659684302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631696"/>
        <c:axId val="1898630864"/>
      </c:barChart>
      <c:catAx>
        <c:axId val="189863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30864"/>
        <c:crosses val="autoZero"/>
        <c:auto val="1"/>
        <c:lblAlgn val="ctr"/>
        <c:lblOffset val="100"/>
        <c:noMultiLvlLbl val="0"/>
      </c:catAx>
      <c:valAx>
        <c:axId val="18986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3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[data_stock_m1.xlsx]Top selling product!PivotTable2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selling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selling product'!$A$4:$A$44</c:f>
              <c:strCache>
                <c:ptCount val="40"/>
                <c:pt idx="0">
                  <c:v>Backpack</c:v>
                </c:pt>
                <c:pt idx="1">
                  <c:v>Bookshelf</c:v>
                </c:pt>
                <c:pt idx="2">
                  <c:v>Cable Organizer</c:v>
                </c:pt>
                <c:pt idx="3">
                  <c:v>Desk Lamp</c:v>
                </c:pt>
                <c:pt idx="4">
                  <c:v>Eraser Pack</c:v>
                </c:pt>
                <c:pt idx="5">
                  <c:v>File Folder</c:v>
                </c:pt>
                <c:pt idx="6">
                  <c:v>Filing Cabinet</c:v>
                </c:pt>
                <c:pt idx="7">
                  <c:v>HDMI Cable</c:v>
                </c:pt>
                <c:pt idx="8">
                  <c:v>Headphones</c:v>
                </c:pt>
                <c:pt idx="9">
                  <c:v>Highlighter Set</c:v>
                </c:pt>
                <c:pt idx="10">
                  <c:v>Keyboard</c:v>
                </c:pt>
                <c:pt idx="11">
                  <c:v>Laptop Stand</c:v>
                </c:pt>
                <c:pt idx="12">
                  <c:v>Lunch Box</c:v>
                </c:pt>
                <c:pt idx="13">
                  <c:v>Marker Set</c:v>
                </c:pt>
                <c:pt idx="14">
                  <c:v>Meeting Table</c:v>
                </c:pt>
                <c:pt idx="15">
                  <c:v>Microphone</c:v>
                </c:pt>
                <c:pt idx="16">
                  <c:v>Mobile Holder</c:v>
                </c:pt>
                <c:pt idx="17">
                  <c:v>Monitor</c:v>
                </c:pt>
                <c:pt idx="18">
                  <c:v>Mouse</c:v>
                </c:pt>
                <c:pt idx="19">
                  <c:v>Mouse Pad</c:v>
                </c:pt>
                <c:pt idx="20">
                  <c:v>Notebook</c:v>
                </c:pt>
                <c:pt idx="21">
                  <c:v>Office Chair</c:v>
                </c:pt>
                <c:pt idx="22">
                  <c:v>Office Desk</c:v>
                </c:pt>
                <c:pt idx="23">
                  <c:v>Paper Clips</c:v>
                </c:pt>
                <c:pt idx="24">
                  <c:v>Pen Pack</c:v>
                </c:pt>
                <c:pt idx="25">
                  <c:v>Pencil Box</c:v>
                </c:pt>
                <c:pt idx="26">
                  <c:v>Phone Stand</c:v>
                </c:pt>
                <c:pt idx="27">
                  <c:v>Power Bank</c:v>
                </c:pt>
                <c:pt idx="28">
                  <c:v>Printer Stand</c:v>
                </c:pt>
                <c:pt idx="29">
                  <c:v>Reception Desk</c:v>
                </c:pt>
                <c:pt idx="30">
                  <c:v>Screen Cleaner</c:v>
                </c:pt>
                <c:pt idx="31">
                  <c:v>Stapler</c:v>
                </c:pt>
                <c:pt idx="32">
                  <c:v>Sticky Notes</c:v>
                </c:pt>
                <c:pt idx="33">
                  <c:v>Storage Cabinet</c:v>
                </c:pt>
                <c:pt idx="34">
                  <c:v>Tablet Cover</c:v>
                </c:pt>
                <c:pt idx="35">
                  <c:v>USB Cable</c:v>
                </c:pt>
                <c:pt idx="36">
                  <c:v>USB Hub</c:v>
                </c:pt>
                <c:pt idx="37">
                  <c:v>Water Bottle</c:v>
                </c:pt>
                <c:pt idx="38">
                  <c:v>Webcam</c:v>
                </c:pt>
                <c:pt idx="39">
                  <c:v>Whiteboard</c:v>
                </c:pt>
              </c:strCache>
            </c:strRef>
          </c:cat>
          <c:val>
            <c:numRef>
              <c:f>'Top selling product'!$B$4:$B$44</c:f>
              <c:numCache>
                <c:formatCode>General</c:formatCode>
                <c:ptCount val="40"/>
                <c:pt idx="0">
                  <c:v>40</c:v>
                </c:pt>
                <c:pt idx="1">
                  <c:v>10</c:v>
                </c:pt>
                <c:pt idx="2">
                  <c:v>35</c:v>
                </c:pt>
                <c:pt idx="3">
                  <c:v>30</c:v>
                </c:pt>
                <c:pt idx="4">
                  <c:v>70</c:v>
                </c:pt>
                <c:pt idx="5">
                  <c:v>60</c:v>
                </c:pt>
                <c:pt idx="6">
                  <c:v>9</c:v>
                </c:pt>
                <c:pt idx="7">
                  <c:v>70</c:v>
                </c:pt>
                <c:pt idx="8">
                  <c:v>45</c:v>
                </c:pt>
                <c:pt idx="9">
                  <c:v>50</c:v>
                </c:pt>
                <c:pt idx="10">
                  <c:v>40</c:v>
                </c:pt>
                <c:pt idx="11">
                  <c:v>20</c:v>
                </c:pt>
                <c:pt idx="12">
                  <c:v>50</c:v>
                </c:pt>
                <c:pt idx="13">
                  <c:v>60</c:v>
                </c:pt>
                <c:pt idx="14">
                  <c:v>7</c:v>
                </c:pt>
                <c:pt idx="15">
                  <c:v>25</c:v>
                </c:pt>
                <c:pt idx="16">
                  <c:v>30</c:v>
                </c:pt>
                <c:pt idx="17">
                  <c:v>30</c:v>
                </c:pt>
                <c:pt idx="18">
                  <c:v>60</c:v>
                </c:pt>
                <c:pt idx="19">
                  <c:v>80</c:v>
                </c:pt>
                <c:pt idx="20">
                  <c:v>120</c:v>
                </c:pt>
                <c:pt idx="21">
                  <c:v>10</c:v>
                </c:pt>
                <c:pt idx="22">
                  <c:v>15</c:v>
                </c:pt>
                <c:pt idx="23">
                  <c:v>90</c:v>
                </c:pt>
                <c:pt idx="24">
                  <c:v>100</c:v>
                </c:pt>
                <c:pt idx="25">
                  <c:v>40</c:v>
                </c:pt>
                <c:pt idx="26">
                  <c:v>30</c:v>
                </c:pt>
                <c:pt idx="27">
                  <c:v>50</c:v>
                </c:pt>
                <c:pt idx="28">
                  <c:v>12</c:v>
                </c:pt>
                <c:pt idx="29">
                  <c:v>5</c:v>
                </c:pt>
                <c:pt idx="30">
                  <c:v>70</c:v>
                </c:pt>
                <c:pt idx="31">
                  <c:v>25</c:v>
                </c:pt>
                <c:pt idx="32">
                  <c:v>80</c:v>
                </c:pt>
                <c:pt idx="33">
                  <c:v>8</c:v>
                </c:pt>
                <c:pt idx="34">
                  <c:v>25</c:v>
                </c:pt>
                <c:pt idx="35">
                  <c:v>90</c:v>
                </c:pt>
                <c:pt idx="36">
                  <c:v>45</c:v>
                </c:pt>
                <c:pt idx="37">
                  <c:v>60</c:v>
                </c:pt>
                <c:pt idx="38">
                  <c:v>15</c:v>
                </c:pt>
                <c:pt idx="3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C-49E3-844F-5027D4A5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273712"/>
        <c:axId val="2018274128"/>
      </c:barChart>
      <c:catAx>
        <c:axId val="201827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74128"/>
        <c:crosses val="autoZero"/>
        <c:auto val="1"/>
        <c:lblAlgn val="ctr"/>
        <c:lblOffset val="100"/>
        <c:noMultiLvlLbl val="0"/>
      </c:catAx>
      <c:valAx>
        <c:axId val="201827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27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[data_stock_m1.xlsx]Reorder product!PivotTable3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'Reorder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'Reorder product'!$A$4:$A$6</c:f>
              <c:strCache>
                <c:ptCount val="2"/>
                <c:pt idx="0">
                  <c:v>OK</c:v>
                </c:pt>
                <c:pt idx="1">
                  <c:v>Reorder</c:v>
                </c:pt>
              </c:strCache>
            </c:strRef>
          </c:cat>
          <c:val>
            <c:numRef>
              <c:f>'Reorder product'!$B$4:$B$6</c:f>
              <c:numCache>
                <c:formatCode>General</c:formatCode>
                <c:ptCount val="2"/>
                <c:pt idx="0">
                  <c:v>31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C-4F28-A6D2-47D7B03A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494192"/>
        <c:axId val="2027494608"/>
      </c:barChart>
      <c:catAx>
        <c:axId val="202749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494608"/>
        <c:crosses val="autoZero"/>
        <c:auto val="1"/>
        <c:lblAlgn val="ctr"/>
        <c:lblOffset val="100"/>
        <c:noMultiLvlLbl val="0"/>
      </c:catAx>
      <c:valAx>
        <c:axId val="202749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49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3810</xdr:rowOff>
    </xdr:from>
    <xdr:to>
      <xdr:col>10</xdr:col>
      <xdr:colOff>312420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FD1A2-55B5-4E13-AA2C-C586EBB56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179070</xdr:rowOff>
    </xdr:from>
    <xdr:to>
      <xdr:col>12</xdr:col>
      <xdr:colOff>601980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A52AC-4435-476E-91A2-B43F19CE3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</xdr:rowOff>
    </xdr:from>
    <xdr:to>
      <xdr:col>10</xdr:col>
      <xdr:colOff>304800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F1E5E-03D5-4442-8CD8-4A97B78AC2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Sharma" refreshedDate="46105.838377199078" createdVersion="7" refreshedVersion="7" minRefreshableVersion="3" recordCount="40" xr:uid="{00000000-000A-0000-FFFF-FFFF06000000}">
  <cacheSource type="worksheet">
    <worksheetSource ref="A1:H41" sheet="data_stock"/>
  </cacheSource>
  <cacheFields count="8">
    <cacheField name="Product_ID" numFmtId="0">
      <sharedItems/>
    </cacheField>
    <cacheField name="Product_Name" numFmtId="0">
      <sharedItems count="40">
        <s v="Keyboard"/>
        <s v="Mouse"/>
        <s v="Monitor"/>
        <s v="Laptop Stand"/>
        <s v="USB Cable"/>
        <s v="HDMI Cable"/>
        <s v="Webcam"/>
        <s v="Headphones"/>
        <s v="Microphone"/>
        <s v="Power Bank"/>
        <s v="Notebook"/>
        <s v="Pen Pack"/>
        <s v="Pencil Box"/>
        <s v="Marker Set"/>
        <s v="Eraser Pack"/>
        <s v="Sticky Notes"/>
        <s v="File Folder"/>
        <s v="Highlighter Set"/>
        <s v="Stapler"/>
        <s v="Paper Clips"/>
        <s v="Office Chair"/>
        <s v="Office Desk"/>
        <s v="Bookshelf"/>
        <s v="Storage Cabinet"/>
        <s v="Meeting Table"/>
        <s v="Whiteboard"/>
        <s v="Desk Lamp"/>
        <s v="Printer Stand"/>
        <s v="Filing Cabinet"/>
        <s v="Reception Desk"/>
        <s v="Water Bottle"/>
        <s v="Backpack"/>
        <s v="Lunch Box"/>
        <s v="Mobile Holder"/>
        <s v="Tablet Cover"/>
        <s v="Screen Cleaner"/>
        <s v="USB Hub"/>
        <s v="Mouse Pad"/>
        <s v="Cable Organizer"/>
        <s v="Phone Stand"/>
      </sharedItems>
    </cacheField>
    <cacheField name="Category" numFmtId="0">
      <sharedItems count="4">
        <s v="Electronics"/>
        <s v="Stationery"/>
        <s v="Furniture"/>
        <s v="Accessories"/>
      </sharedItems>
    </cacheField>
    <cacheField name="Stock_In" numFmtId="0">
      <sharedItems containsSemiMixedTypes="0" containsString="0" containsNumber="1" containsInteger="1" minValue="15" maxValue="200"/>
    </cacheField>
    <cacheField name="Stock_Out" numFmtId="0">
      <sharedItems containsSemiMixedTypes="0" containsString="0" containsNumber="1" containsInteger="1" minValue="5" maxValue="120"/>
    </cacheField>
    <cacheField name="Current_Stock" numFmtId="0">
      <sharedItems containsSemiMixedTypes="0" containsString="0" containsNumber="1" containsInteger="1" minValue="4" maxValue="80"/>
    </cacheField>
    <cacheField name="Reorder_Level" numFmtId="0">
      <sharedItems containsSemiMixedTypes="0" containsString="0" containsNumber="1" containsInteger="1" minValue="3" maxValue="40"/>
    </cacheField>
    <cacheField name="Status" numFmtId="0">
      <sharedItems count="2">
        <s v="OK"/>
        <s v="Reor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P101"/>
    <x v="0"/>
    <x v="0"/>
    <n v="120"/>
    <n v="40"/>
    <n v="80"/>
    <n v="20"/>
    <x v="0"/>
  </r>
  <r>
    <s v="P102"/>
    <x v="1"/>
    <x v="0"/>
    <n v="100"/>
    <n v="60"/>
    <n v="40"/>
    <n v="20"/>
    <x v="0"/>
  </r>
  <r>
    <s v="P103"/>
    <x v="2"/>
    <x v="0"/>
    <n v="80"/>
    <n v="30"/>
    <n v="50"/>
    <n v="15"/>
    <x v="0"/>
  </r>
  <r>
    <s v="P104"/>
    <x v="3"/>
    <x v="0"/>
    <n v="60"/>
    <n v="20"/>
    <n v="40"/>
    <n v="10"/>
    <x v="0"/>
  </r>
  <r>
    <s v="P105"/>
    <x v="4"/>
    <x v="0"/>
    <n v="150"/>
    <n v="90"/>
    <n v="60"/>
    <n v="30"/>
    <x v="0"/>
  </r>
  <r>
    <s v="P106"/>
    <x v="5"/>
    <x v="0"/>
    <n v="140"/>
    <n v="70"/>
    <n v="70"/>
    <n v="25"/>
    <x v="0"/>
  </r>
  <r>
    <s v="P107"/>
    <x v="6"/>
    <x v="0"/>
    <n v="50"/>
    <n v="15"/>
    <n v="35"/>
    <n v="10"/>
    <x v="0"/>
  </r>
  <r>
    <s v="P108"/>
    <x v="7"/>
    <x v="0"/>
    <n v="90"/>
    <n v="45"/>
    <n v="45"/>
    <n v="20"/>
    <x v="0"/>
  </r>
  <r>
    <s v="P109"/>
    <x v="8"/>
    <x v="0"/>
    <n v="70"/>
    <n v="25"/>
    <n v="45"/>
    <n v="15"/>
    <x v="0"/>
  </r>
  <r>
    <s v="P110"/>
    <x v="9"/>
    <x v="0"/>
    <n v="110"/>
    <n v="50"/>
    <n v="60"/>
    <n v="20"/>
    <x v="0"/>
  </r>
  <r>
    <s v="P111"/>
    <x v="10"/>
    <x v="1"/>
    <n v="200"/>
    <n v="120"/>
    <n v="18"/>
    <n v="40"/>
    <x v="1"/>
  </r>
  <r>
    <s v="P112"/>
    <x v="11"/>
    <x v="1"/>
    <n v="180"/>
    <n v="100"/>
    <n v="80"/>
    <n v="30"/>
    <x v="0"/>
  </r>
  <r>
    <s v="P113"/>
    <x v="12"/>
    <x v="1"/>
    <n v="90"/>
    <n v="40"/>
    <n v="10"/>
    <n v="15"/>
    <x v="1"/>
  </r>
  <r>
    <s v="P114"/>
    <x v="13"/>
    <x v="1"/>
    <n v="100"/>
    <n v="60"/>
    <n v="40"/>
    <n v="20"/>
    <x v="0"/>
  </r>
  <r>
    <s v="P115"/>
    <x v="14"/>
    <x v="1"/>
    <n v="130"/>
    <n v="70"/>
    <n v="60"/>
    <n v="25"/>
    <x v="0"/>
  </r>
  <r>
    <s v="P116"/>
    <x v="15"/>
    <x v="1"/>
    <n v="150"/>
    <n v="80"/>
    <n v="70"/>
    <n v="30"/>
    <x v="0"/>
  </r>
  <r>
    <s v="P117"/>
    <x v="16"/>
    <x v="1"/>
    <n v="120"/>
    <n v="60"/>
    <n v="60"/>
    <n v="20"/>
    <x v="0"/>
  </r>
  <r>
    <s v="P118"/>
    <x v="17"/>
    <x v="1"/>
    <n v="100"/>
    <n v="50"/>
    <n v="14"/>
    <n v="20"/>
    <x v="1"/>
  </r>
  <r>
    <s v="P119"/>
    <x v="18"/>
    <x v="1"/>
    <n v="70"/>
    <n v="25"/>
    <n v="45"/>
    <n v="15"/>
    <x v="0"/>
  </r>
  <r>
    <s v="P120"/>
    <x v="19"/>
    <x v="1"/>
    <n v="140"/>
    <n v="90"/>
    <n v="50"/>
    <n v="30"/>
    <x v="0"/>
  </r>
  <r>
    <s v="P121"/>
    <x v="20"/>
    <x v="2"/>
    <n v="40"/>
    <n v="10"/>
    <n v="30"/>
    <n v="5"/>
    <x v="0"/>
  </r>
  <r>
    <s v="P122"/>
    <x v="21"/>
    <x v="2"/>
    <n v="35"/>
    <n v="15"/>
    <n v="20"/>
    <n v="5"/>
    <x v="0"/>
  </r>
  <r>
    <s v="P123"/>
    <x v="22"/>
    <x v="2"/>
    <n v="30"/>
    <n v="10"/>
    <n v="20"/>
    <n v="5"/>
    <x v="0"/>
  </r>
  <r>
    <s v="P124"/>
    <x v="23"/>
    <x v="2"/>
    <n v="25"/>
    <n v="8"/>
    <n v="17"/>
    <n v="5"/>
    <x v="0"/>
  </r>
  <r>
    <s v="P125"/>
    <x v="24"/>
    <x v="2"/>
    <n v="20"/>
    <n v="7"/>
    <n v="13"/>
    <n v="4"/>
    <x v="0"/>
  </r>
  <r>
    <s v="P126"/>
    <x v="25"/>
    <x v="2"/>
    <n v="45"/>
    <n v="20"/>
    <n v="9"/>
    <n v="10"/>
    <x v="1"/>
  </r>
  <r>
    <s v="P127"/>
    <x v="26"/>
    <x v="2"/>
    <n v="60"/>
    <n v="30"/>
    <n v="30"/>
    <n v="15"/>
    <x v="0"/>
  </r>
  <r>
    <s v="P128"/>
    <x v="27"/>
    <x v="2"/>
    <n v="30"/>
    <n v="12"/>
    <n v="4"/>
    <n v="6"/>
    <x v="1"/>
  </r>
  <r>
    <s v="P129"/>
    <x v="28"/>
    <x v="2"/>
    <n v="25"/>
    <n v="9"/>
    <n v="16"/>
    <n v="5"/>
    <x v="0"/>
  </r>
  <r>
    <s v="P130"/>
    <x v="29"/>
    <x v="2"/>
    <n v="15"/>
    <n v="5"/>
    <n v="10"/>
    <n v="3"/>
    <x v="0"/>
  </r>
  <r>
    <s v="P131"/>
    <x v="30"/>
    <x v="3"/>
    <n v="120"/>
    <n v="60"/>
    <n v="6"/>
    <n v="20"/>
    <x v="1"/>
  </r>
  <r>
    <s v="P132"/>
    <x v="31"/>
    <x v="3"/>
    <n v="80"/>
    <n v="40"/>
    <n v="40"/>
    <n v="15"/>
    <x v="0"/>
  </r>
  <r>
    <s v="P133"/>
    <x v="32"/>
    <x v="3"/>
    <n v="100"/>
    <n v="50"/>
    <n v="50"/>
    <n v="20"/>
    <x v="0"/>
  </r>
  <r>
    <s v="P134"/>
    <x v="33"/>
    <x v="3"/>
    <n v="90"/>
    <n v="30"/>
    <n v="60"/>
    <n v="15"/>
    <x v="0"/>
  </r>
  <r>
    <s v="P135"/>
    <x v="34"/>
    <x v="3"/>
    <n v="70"/>
    <n v="25"/>
    <n v="45"/>
    <n v="10"/>
    <x v="0"/>
  </r>
  <r>
    <s v="P136"/>
    <x v="35"/>
    <x v="3"/>
    <n v="110"/>
    <n v="70"/>
    <n v="40"/>
    <n v="20"/>
    <x v="0"/>
  </r>
  <r>
    <s v="P137"/>
    <x v="36"/>
    <x v="3"/>
    <n v="95"/>
    <n v="45"/>
    <n v="15"/>
    <n v="20"/>
    <x v="1"/>
  </r>
  <r>
    <s v="P138"/>
    <x v="37"/>
    <x v="3"/>
    <n v="130"/>
    <n v="80"/>
    <n v="20"/>
    <n v="25"/>
    <x v="1"/>
  </r>
  <r>
    <s v="P139"/>
    <x v="38"/>
    <x v="3"/>
    <n v="85"/>
    <n v="35"/>
    <n v="50"/>
    <n v="15"/>
    <x v="0"/>
  </r>
  <r>
    <s v="P140"/>
    <x v="39"/>
    <x v="3"/>
    <n v="75"/>
    <n v="30"/>
    <n v="10"/>
    <n v="1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8" firstHeaderRow="1" firstDataRow="1" firstDataCol="1"/>
  <pivotFields count="8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rrent_Stock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44" firstHeaderRow="1" firstDataRow="1" firstDataCol="1"/>
  <pivotFields count="8">
    <pivotField showAll="0"/>
    <pivotField axis="axisRow" showAll="0">
      <items count="41">
        <item x="31"/>
        <item x="22"/>
        <item x="38"/>
        <item x="26"/>
        <item x="14"/>
        <item x="16"/>
        <item x="28"/>
        <item x="5"/>
        <item x="7"/>
        <item x="17"/>
        <item x="0"/>
        <item x="3"/>
        <item x="32"/>
        <item x="13"/>
        <item x="24"/>
        <item x="8"/>
        <item x="33"/>
        <item x="2"/>
        <item x="1"/>
        <item x="37"/>
        <item x="10"/>
        <item x="20"/>
        <item x="21"/>
        <item x="19"/>
        <item x="11"/>
        <item x="12"/>
        <item x="39"/>
        <item x="9"/>
        <item x="27"/>
        <item x="29"/>
        <item x="35"/>
        <item x="18"/>
        <item x="15"/>
        <item x="23"/>
        <item x="34"/>
        <item x="4"/>
        <item x="36"/>
        <item x="30"/>
        <item x="6"/>
        <item x="2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Stock_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6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Produc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abSelected="1" workbookViewId="0">
      <selection activeCell="N17" sqref="N17"/>
    </sheetView>
  </sheetViews>
  <sheetFormatPr defaultRowHeight="14.4" x14ac:dyDescent="0.3"/>
  <cols>
    <col min="1" max="1" width="10.109375" bestFit="1" customWidth="1"/>
    <col min="2" max="2" width="13.33203125" bestFit="1" customWidth="1"/>
    <col min="3" max="3" width="10.44140625" bestFit="1" customWidth="1"/>
    <col min="4" max="4" width="8" bestFit="1" customWidth="1"/>
    <col min="5" max="5" width="9.44140625" bestFit="1" customWidth="1"/>
    <col min="6" max="6" width="12.5546875" bestFit="1" customWidth="1"/>
    <col min="7" max="7" width="12.77734375" bestFit="1" customWidth="1"/>
    <col min="8" max="8" width="7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120</v>
      </c>
      <c r="E2" s="1">
        <v>40</v>
      </c>
      <c r="F2" s="1">
        <f>D2-E2</f>
        <v>80</v>
      </c>
      <c r="G2" s="1">
        <v>20</v>
      </c>
      <c r="H2" s="1" t="str">
        <f>IF(F2&lt;G2,"Reorder","OK")</f>
        <v>OK</v>
      </c>
    </row>
    <row r="3" spans="1:8" x14ac:dyDescent="0.3">
      <c r="A3" s="1" t="s">
        <v>11</v>
      </c>
      <c r="B3" s="1" t="s">
        <v>12</v>
      </c>
      <c r="C3" s="1" t="s">
        <v>10</v>
      </c>
      <c r="D3" s="1">
        <v>100</v>
      </c>
      <c r="E3" s="1">
        <v>60</v>
      </c>
      <c r="F3" s="1">
        <f t="shared" ref="F3:F40" si="0">D3-E3</f>
        <v>40</v>
      </c>
      <c r="G3" s="1">
        <v>20</v>
      </c>
      <c r="H3" s="1" t="str">
        <f t="shared" ref="H3:H41" si="1">IF(F3&lt;G3,"Reorder","OK")</f>
        <v>OK</v>
      </c>
    </row>
    <row r="4" spans="1:8" x14ac:dyDescent="0.3">
      <c r="A4" s="1" t="s">
        <v>13</v>
      </c>
      <c r="B4" s="1" t="s">
        <v>14</v>
      </c>
      <c r="C4" s="1" t="s">
        <v>10</v>
      </c>
      <c r="D4" s="1">
        <v>80</v>
      </c>
      <c r="E4" s="1">
        <v>30</v>
      </c>
      <c r="F4" s="1">
        <f t="shared" si="0"/>
        <v>50</v>
      </c>
      <c r="G4" s="1">
        <v>15</v>
      </c>
      <c r="H4" s="1" t="str">
        <f t="shared" si="1"/>
        <v>OK</v>
      </c>
    </row>
    <row r="5" spans="1:8" x14ac:dyDescent="0.3">
      <c r="A5" s="1" t="s">
        <v>15</v>
      </c>
      <c r="B5" s="1" t="s">
        <v>16</v>
      </c>
      <c r="C5" s="1" t="s">
        <v>10</v>
      </c>
      <c r="D5" s="1">
        <v>60</v>
      </c>
      <c r="E5" s="1">
        <v>20</v>
      </c>
      <c r="F5" s="1">
        <f t="shared" si="0"/>
        <v>40</v>
      </c>
      <c r="G5" s="1">
        <v>10</v>
      </c>
      <c r="H5" s="1" t="str">
        <f t="shared" si="1"/>
        <v>OK</v>
      </c>
    </row>
    <row r="6" spans="1:8" x14ac:dyDescent="0.3">
      <c r="A6" s="1" t="s">
        <v>17</v>
      </c>
      <c r="B6" s="1" t="s">
        <v>18</v>
      </c>
      <c r="C6" s="1" t="s">
        <v>10</v>
      </c>
      <c r="D6" s="1">
        <v>150</v>
      </c>
      <c r="E6" s="1">
        <v>90</v>
      </c>
      <c r="F6" s="1">
        <f t="shared" si="0"/>
        <v>60</v>
      </c>
      <c r="G6" s="1">
        <v>30</v>
      </c>
      <c r="H6" s="1" t="str">
        <f t="shared" si="1"/>
        <v>OK</v>
      </c>
    </row>
    <row r="7" spans="1:8" x14ac:dyDescent="0.3">
      <c r="A7" s="1" t="s">
        <v>19</v>
      </c>
      <c r="B7" s="1" t="s">
        <v>20</v>
      </c>
      <c r="C7" s="1" t="s">
        <v>10</v>
      </c>
      <c r="D7" s="1">
        <v>140</v>
      </c>
      <c r="E7" s="1">
        <v>70</v>
      </c>
      <c r="F7" s="1">
        <f t="shared" si="0"/>
        <v>70</v>
      </c>
      <c r="G7" s="1">
        <v>25</v>
      </c>
      <c r="H7" s="1" t="str">
        <f t="shared" si="1"/>
        <v>OK</v>
      </c>
    </row>
    <row r="8" spans="1:8" x14ac:dyDescent="0.3">
      <c r="A8" s="1" t="s">
        <v>21</v>
      </c>
      <c r="B8" s="1" t="s">
        <v>22</v>
      </c>
      <c r="C8" s="1" t="s">
        <v>10</v>
      </c>
      <c r="D8" s="1">
        <v>50</v>
      </c>
      <c r="E8" s="1">
        <v>15</v>
      </c>
      <c r="F8" s="1">
        <f t="shared" si="0"/>
        <v>35</v>
      </c>
      <c r="G8" s="1">
        <v>10</v>
      </c>
      <c r="H8" s="1" t="str">
        <f t="shared" si="1"/>
        <v>OK</v>
      </c>
    </row>
    <row r="9" spans="1:8" x14ac:dyDescent="0.3">
      <c r="A9" s="1" t="s">
        <v>23</v>
      </c>
      <c r="B9" s="1" t="s">
        <v>24</v>
      </c>
      <c r="C9" s="1" t="s">
        <v>10</v>
      </c>
      <c r="D9" s="1">
        <v>90</v>
      </c>
      <c r="E9" s="1">
        <v>45</v>
      </c>
      <c r="F9" s="1">
        <f t="shared" si="0"/>
        <v>45</v>
      </c>
      <c r="G9" s="1">
        <v>20</v>
      </c>
      <c r="H9" s="1" t="str">
        <f t="shared" si="1"/>
        <v>OK</v>
      </c>
    </row>
    <row r="10" spans="1:8" x14ac:dyDescent="0.3">
      <c r="A10" s="1" t="s">
        <v>25</v>
      </c>
      <c r="B10" s="1" t="s">
        <v>26</v>
      </c>
      <c r="C10" s="1" t="s">
        <v>10</v>
      </c>
      <c r="D10" s="1">
        <v>70</v>
      </c>
      <c r="E10" s="1">
        <v>25</v>
      </c>
      <c r="F10" s="1">
        <f t="shared" si="0"/>
        <v>45</v>
      </c>
      <c r="G10" s="1">
        <v>15</v>
      </c>
      <c r="H10" s="1" t="str">
        <f t="shared" si="1"/>
        <v>OK</v>
      </c>
    </row>
    <row r="11" spans="1:8" x14ac:dyDescent="0.3">
      <c r="A11" s="1" t="s">
        <v>27</v>
      </c>
      <c r="B11" s="1" t="s">
        <v>28</v>
      </c>
      <c r="C11" s="1" t="s">
        <v>10</v>
      </c>
      <c r="D11" s="1">
        <v>110</v>
      </c>
      <c r="E11" s="1">
        <v>50</v>
      </c>
      <c r="F11" s="1">
        <f t="shared" si="0"/>
        <v>60</v>
      </c>
      <c r="G11" s="1">
        <v>20</v>
      </c>
      <c r="H11" s="1" t="str">
        <f t="shared" si="1"/>
        <v>OK</v>
      </c>
    </row>
    <row r="12" spans="1:8" x14ac:dyDescent="0.3">
      <c r="A12" s="1" t="s">
        <v>29</v>
      </c>
      <c r="B12" s="1" t="s">
        <v>30</v>
      </c>
      <c r="C12" s="1" t="s">
        <v>31</v>
      </c>
      <c r="D12" s="1">
        <v>200</v>
      </c>
      <c r="E12" s="1">
        <v>120</v>
      </c>
      <c r="F12" s="1">
        <v>18</v>
      </c>
      <c r="G12" s="1">
        <v>40</v>
      </c>
      <c r="H12" s="1" t="str">
        <f t="shared" si="1"/>
        <v>Reorder</v>
      </c>
    </row>
    <row r="13" spans="1:8" x14ac:dyDescent="0.3">
      <c r="A13" s="1" t="s">
        <v>32</v>
      </c>
      <c r="B13" s="1" t="s">
        <v>33</v>
      </c>
      <c r="C13" s="1" t="s">
        <v>31</v>
      </c>
      <c r="D13" s="1">
        <v>180</v>
      </c>
      <c r="E13" s="1">
        <v>100</v>
      </c>
      <c r="F13" s="1">
        <f t="shared" si="0"/>
        <v>80</v>
      </c>
      <c r="G13" s="1">
        <v>30</v>
      </c>
      <c r="H13" s="1" t="str">
        <f t="shared" si="1"/>
        <v>OK</v>
      </c>
    </row>
    <row r="14" spans="1:8" x14ac:dyDescent="0.3">
      <c r="A14" s="1" t="s">
        <v>34</v>
      </c>
      <c r="B14" s="1" t="s">
        <v>35</v>
      </c>
      <c r="C14" s="1" t="s">
        <v>31</v>
      </c>
      <c r="D14" s="1">
        <v>90</v>
      </c>
      <c r="E14" s="1">
        <v>40</v>
      </c>
      <c r="F14" s="1">
        <v>10</v>
      </c>
      <c r="G14" s="1">
        <v>15</v>
      </c>
      <c r="H14" s="1" t="str">
        <f t="shared" si="1"/>
        <v>Reorder</v>
      </c>
    </row>
    <row r="15" spans="1:8" x14ac:dyDescent="0.3">
      <c r="A15" s="1" t="s">
        <v>36</v>
      </c>
      <c r="B15" s="1" t="s">
        <v>37</v>
      </c>
      <c r="C15" s="1" t="s">
        <v>31</v>
      </c>
      <c r="D15" s="1">
        <v>100</v>
      </c>
      <c r="E15" s="1">
        <v>60</v>
      </c>
      <c r="F15" s="1">
        <f t="shared" si="0"/>
        <v>40</v>
      </c>
      <c r="G15" s="1">
        <v>20</v>
      </c>
      <c r="H15" s="1" t="str">
        <f t="shared" si="1"/>
        <v>OK</v>
      </c>
    </row>
    <row r="16" spans="1:8" x14ac:dyDescent="0.3">
      <c r="A16" s="1" t="s">
        <v>38</v>
      </c>
      <c r="B16" s="1" t="s">
        <v>39</v>
      </c>
      <c r="C16" s="1" t="s">
        <v>31</v>
      </c>
      <c r="D16" s="1">
        <v>130</v>
      </c>
      <c r="E16" s="1">
        <v>70</v>
      </c>
      <c r="F16" s="1">
        <f t="shared" si="0"/>
        <v>60</v>
      </c>
      <c r="G16" s="1">
        <v>25</v>
      </c>
      <c r="H16" s="1" t="str">
        <f t="shared" si="1"/>
        <v>OK</v>
      </c>
    </row>
    <row r="17" spans="1:8" x14ac:dyDescent="0.3">
      <c r="A17" s="1" t="s">
        <v>40</v>
      </c>
      <c r="B17" s="1" t="s">
        <v>41</v>
      </c>
      <c r="C17" s="1" t="s">
        <v>31</v>
      </c>
      <c r="D17" s="1">
        <v>150</v>
      </c>
      <c r="E17" s="1">
        <v>80</v>
      </c>
      <c r="F17" s="1">
        <f t="shared" si="0"/>
        <v>70</v>
      </c>
      <c r="G17" s="1">
        <v>30</v>
      </c>
      <c r="H17" s="1" t="str">
        <f t="shared" si="1"/>
        <v>OK</v>
      </c>
    </row>
    <row r="18" spans="1:8" x14ac:dyDescent="0.3">
      <c r="A18" s="1" t="s">
        <v>42</v>
      </c>
      <c r="B18" s="1" t="s">
        <v>43</v>
      </c>
      <c r="C18" s="1" t="s">
        <v>31</v>
      </c>
      <c r="D18" s="1">
        <v>120</v>
      </c>
      <c r="E18" s="1">
        <v>60</v>
      </c>
      <c r="F18" s="1">
        <f t="shared" si="0"/>
        <v>60</v>
      </c>
      <c r="G18" s="1">
        <v>20</v>
      </c>
      <c r="H18" s="1" t="str">
        <f t="shared" si="1"/>
        <v>OK</v>
      </c>
    </row>
    <row r="19" spans="1:8" x14ac:dyDescent="0.3">
      <c r="A19" s="1" t="s">
        <v>44</v>
      </c>
      <c r="B19" s="1" t="s">
        <v>45</v>
      </c>
      <c r="C19" s="1" t="s">
        <v>31</v>
      </c>
      <c r="D19" s="1">
        <v>100</v>
      </c>
      <c r="E19" s="1">
        <v>50</v>
      </c>
      <c r="F19" s="1">
        <v>14</v>
      </c>
      <c r="G19" s="1">
        <v>20</v>
      </c>
      <c r="H19" s="1" t="str">
        <f t="shared" si="1"/>
        <v>Reorder</v>
      </c>
    </row>
    <row r="20" spans="1:8" x14ac:dyDescent="0.3">
      <c r="A20" s="1" t="s">
        <v>46</v>
      </c>
      <c r="B20" s="1" t="s">
        <v>47</v>
      </c>
      <c r="C20" s="1" t="s">
        <v>31</v>
      </c>
      <c r="D20" s="1">
        <v>70</v>
      </c>
      <c r="E20" s="1">
        <v>25</v>
      </c>
      <c r="F20" s="1">
        <f t="shared" si="0"/>
        <v>45</v>
      </c>
      <c r="G20" s="1">
        <v>15</v>
      </c>
      <c r="H20" s="1" t="str">
        <f t="shared" si="1"/>
        <v>OK</v>
      </c>
    </row>
    <row r="21" spans="1:8" x14ac:dyDescent="0.3">
      <c r="A21" s="1" t="s">
        <v>48</v>
      </c>
      <c r="B21" s="1" t="s">
        <v>49</v>
      </c>
      <c r="C21" s="1" t="s">
        <v>31</v>
      </c>
      <c r="D21" s="1">
        <v>140</v>
      </c>
      <c r="E21" s="1">
        <v>90</v>
      </c>
      <c r="F21" s="1">
        <f t="shared" si="0"/>
        <v>50</v>
      </c>
      <c r="G21" s="1">
        <v>30</v>
      </c>
      <c r="H21" s="1" t="str">
        <f t="shared" si="1"/>
        <v>OK</v>
      </c>
    </row>
    <row r="22" spans="1:8" x14ac:dyDescent="0.3">
      <c r="A22" s="1" t="s">
        <v>50</v>
      </c>
      <c r="B22" s="1" t="s">
        <v>51</v>
      </c>
      <c r="C22" s="1" t="s">
        <v>52</v>
      </c>
      <c r="D22" s="1">
        <v>40</v>
      </c>
      <c r="E22" s="1">
        <v>10</v>
      </c>
      <c r="F22" s="1">
        <f t="shared" si="0"/>
        <v>30</v>
      </c>
      <c r="G22" s="1">
        <v>5</v>
      </c>
      <c r="H22" s="1" t="str">
        <f t="shared" si="1"/>
        <v>OK</v>
      </c>
    </row>
    <row r="23" spans="1:8" x14ac:dyDescent="0.3">
      <c r="A23" s="1" t="s">
        <v>53</v>
      </c>
      <c r="B23" s="1" t="s">
        <v>54</v>
      </c>
      <c r="C23" s="1" t="s">
        <v>52</v>
      </c>
      <c r="D23" s="1">
        <v>35</v>
      </c>
      <c r="E23" s="1">
        <v>15</v>
      </c>
      <c r="F23" s="1">
        <f t="shared" si="0"/>
        <v>20</v>
      </c>
      <c r="G23" s="1">
        <v>5</v>
      </c>
      <c r="H23" s="1" t="str">
        <f t="shared" si="1"/>
        <v>OK</v>
      </c>
    </row>
    <row r="24" spans="1:8" x14ac:dyDescent="0.3">
      <c r="A24" s="1" t="s">
        <v>55</v>
      </c>
      <c r="B24" s="1" t="s">
        <v>56</v>
      </c>
      <c r="C24" s="1" t="s">
        <v>52</v>
      </c>
      <c r="D24" s="1">
        <v>30</v>
      </c>
      <c r="E24" s="1">
        <v>10</v>
      </c>
      <c r="F24" s="1">
        <f t="shared" si="0"/>
        <v>20</v>
      </c>
      <c r="G24" s="1">
        <v>5</v>
      </c>
      <c r="H24" s="1" t="str">
        <f t="shared" si="1"/>
        <v>OK</v>
      </c>
    </row>
    <row r="25" spans="1:8" x14ac:dyDescent="0.3">
      <c r="A25" s="1" t="s">
        <v>57</v>
      </c>
      <c r="B25" s="1" t="s">
        <v>58</v>
      </c>
      <c r="C25" s="1" t="s">
        <v>52</v>
      </c>
      <c r="D25" s="1">
        <v>25</v>
      </c>
      <c r="E25" s="1">
        <v>8</v>
      </c>
      <c r="F25" s="1">
        <f t="shared" si="0"/>
        <v>17</v>
      </c>
      <c r="G25" s="1">
        <v>5</v>
      </c>
      <c r="H25" s="1" t="str">
        <f t="shared" si="1"/>
        <v>OK</v>
      </c>
    </row>
    <row r="26" spans="1:8" x14ac:dyDescent="0.3">
      <c r="A26" s="1" t="s">
        <v>59</v>
      </c>
      <c r="B26" s="1" t="s">
        <v>60</v>
      </c>
      <c r="C26" s="1" t="s">
        <v>52</v>
      </c>
      <c r="D26" s="1">
        <v>20</v>
      </c>
      <c r="E26" s="1">
        <v>7</v>
      </c>
      <c r="F26" s="1">
        <f t="shared" si="0"/>
        <v>13</v>
      </c>
      <c r="G26" s="1">
        <v>4</v>
      </c>
      <c r="H26" s="1" t="str">
        <f t="shared" si="1"/>
        <v>OK</v>
      </c>
    </row>
    <row r="27" spans="1:8" x14ac:dyDescent="0.3">
      <c r="A27" s="1" t="s">
        <v>61</v>
      </c>
      <c r="B27" s="1" t="s">
        <v>62</v>
      </c>
      <c r="C27" s="1" t="s">
        <v>52</v>
      </c>
      <c r="D27" s="1">
        <v>45</v>
      </c>
      <c r="E27" s="1">
        <v>20</v>
      </c>
      <c r="F27" s="1">
        <v>9</v>
      </c>
      <c r="G27" s="1">
        <v>10</v>
      </c>
      <c r="H27" s="1" t="str">
        <f t="shared" si="1"/>
        <v>Reorder</v>
      </c>
    </row>
    <row r="28" spans="1:8" x14ac:dyDescent="0.3">
      <c r="A28" s="1" t="s">
        <v>63</v>
      </c>
      <c r="B28" s="1" t="s">
        <v>64</v>
      </c>
      <c r="C28" s="1" t="s">
        <v>52</v>
      </c>
      <c r="D28" s="1">
        <v>60</v>
      </c>
      <c r="E28" s="1">
        <v>30</v>
      </c>
      <c r="F28" s="1">
        <f t="shared" si="0"/>
        <v>30</v>
      </c>
      <c r="G28" s="1">
        <v>15</v>
      </c>
      <c r="H28" s="1" t="str">
        <f t="shared" si="1"/>
        <v>OK</v>
      </c>
    </row>
    <row r="29" spans="1:8" x14ac:dyDescent="0.3">
      <c r="A29" s="1" t="s">
        <v>65</v>
      </c>
      <c r="B29" s="1" t="s">
        <v>66</v>
      </c>
      <c r="C29" s="1" t="s">
        <v>52</v>
      </c>
      <c r="D29" s="1">
        <v>30</v>
      </c>
      <c r="E29" s="1">
        <v>12</v>
      </c>
      <c r="F29" s="1">
        <v>4</v>
      </c>
      <c r="G29" s="1">
        <v>6</v>
      </c>
      <c r="H29" s="1" t="str">
        <f t="shared" si="1"/>
        <v>Reorder</v>
      </c>
    </row>
    <row r="30" spans="1:8" x14ac:dyDescent="0.3">
      <c r="A30" s="1" t="s">
        <v>67</v>
      </c>
      <c r="B30" s="1" t="s">
        <v>68</v>
      </c>
      <c r="C30" s="1" t="s">
        <v>52</v>
      </c>
      <c r="D30" s="1">
        <v>25</v>
      </c>
      <c r="E30" s="1">
        <v>9</v>
      </c>
      <c r="F30" s="1">
        <f t="shared" si="0"/>
        <v>16</v>
      </c>
      <c r="G30" s="1">
        <v>5</v>
      </c>
      <c r="H30" s="1" t="str">
        <f t="shared" si="1"/>
        <v>OK</v>
      </c>
    </row>
    <row r="31" spans="1:8" x14ac:dyDescent="0.3">
      <c r="A31" s="1" t="s">
        <v>69</v>
      </c>
      <c r="B31" s="1" t="s">
        <v>70</v>
      </c>
      <c r="C31" s="1" t="s">
        <v>52</v>
      </c>
      <c r="D31" s="1">
        <v>15</v>
      </c>
      <c r="E31" s="1">
        <v>5</v>
      </c>
      <c r="F31" s="1">
        <f t="shared" si="0"/>
        <v>10</v>
      </c>
      <c r="G31" s="1">
        <v>3</v>
      </c>
      <c r="H31" s="1" t="str">
        <f t="shared" si="1"/>
        <v>OK</v>
      </c>
    </row>
    <row r="32" spans="1:8" x14ac:dyDescent="0.3">
      <c r="A32" s="1" t="s">
        <v>71</v>
      </c>
      <c r="B32" s="1" t="s">
        <v>72</v>
      </c>
      <c r="C32" s="1" t="s">
        <v>73</v>
      </c>
      <c r="D32" s="1">
        <v>120</v>
      </c>
      <c r="E32" s="1">
        <v>60</v>
      </c>
      <c r="F32" s="1">
        <v>6</v>
      </c>
      <c r="G32" s="1">
        <v>20</v>
      </c>
      <c r="H32" s="1" t="str">
        <f t="shared" si="1"/>
        <v>Reorder</v>
      </c>
    </row>
    <row r="33" spans="1:8" x14ac:dyDescent="0.3">
      <c r="A33" s="1" t="s">
        <v>74</v>
      </c>
      <c r="B33" s="1" t="s">
        <v>75</v>
      </c>
      <c r="C33" s="1" t="s">
        <v>73</v>
      </c>
      <c r="D33" s="1">
        <v>80</v>
      </c>
      <c r="E33" s="1">
        <v>40</v>
      </c>
      <c r="F33" s="1">
        <f t="shared" si="0"/>
        <v>40</v>
      </c>
      <c r="G33" s="1">
        <v>15</v>
      </c>
      <c r="H33" s="1" t="str">
        <f t="shared" si="1"/>
        <v>OK</v>
      </c>
    </row>
    <row r="34" spans="1:8" x14ac:dyDescent="0.3">
      <c r="A34" s="1" t="s">
        <v>76</v>
      </c>
      <c r="B34" s="1" t="s">
        <v>77</v>
      </c>
      <c r="C34" s="1" t="s">
        <v>73</v>
      </c>
      <c r="D34" s="1">
        <v>100</v>
      </c>
      <c r="E34" s="1">
        <v>50</v>
      </c>
      <c r="F34" s="1">
        <f t="shared" si="0"/>
        <v>50</v>
      </c>
      <c r="G34" s="1">
        <v>20</v>
      </c>
      <c r="H34" s="1" t="str">
        <f t="shared" si="1"/>
        <v>OK</v>
      </c>
    </row>
    <row r="35" spans="1:8" x14ac:dyDescent="0.3">
      <c r="A35" s="1" t="s">
        <v>78</v>
      </c>
      <c r="B35" s="1" t="s">
        <v>79</v>
      </c>
      <c r="C35" s="1" t="s">
        <v>73</v>
      </c>
      <c r="D35" s="1">
        <v>90</v>
      </c>
      <c r="E35" s="1">
        <v>30</v>
      </c>
      <c r="F35" s="1">
        <f t="shared" si="0"/>
        <v>60</v>
      </c>
      <c r="G35" s="1">
        <v>15</v>
      </c>
      <c r="H35" s="1" t="str">
        <f t="shared" si="1"/>
        <v>OK</v>
      </c>
    </row>
    <row r="36" spans="1:8" x14ac:dyDescent="0.3">
      <c r="A36" s="1" t="s">
        <v>80</v>
      </c>
      <c r="B36" s="1" t="s">
        <v>81</v>
      </c>
      <c r="C36" s="1" t="s">
        <v>73</v>
      </c>
      <c r="D36" s="1">
        <v>70</v>
      </c>
      <c r="E36" s="1">
        <v>25</v>
      </c>
      <c r="F36" s="1">
        <f t="shared" si="0"/>
        <v>45</v>
      </c>
      <c r="G36" s="1">
        <v>10</v>
      </c>
      <c r="H36" s="1" t="str">
        <f t="shared" si="1"/>
        <v>OK</v>
      </c>
    </row>
    <row r="37" spans="1:8" x14ac:dyDescent="0.3">
      <c r="A37" s="1" t="s">
        <v>82</v>
      </c>
      <c r="B37" s="1" t="s">
        <v>83</v>
      </c>
      <c r="C37" s="1" t="s">
        <v>73</v>
      </c>
      <c r="D37" s="1">
        <v>110</v>
      </c>
      <c r="E37" s="1">
        <v>70</v>
      </c>
      <c r="F37" s="1">
        <f t="shared" si="0"/>
        <v>40</v>
      </c>
      <c r="G37" s="1">
        <v>20</v>
      </c>
      <c r="H37" s="1" t="str">
        <f t="shared" si="1"/>
        <v>OK</v>
      </c>
    </row>
    <row r="38" spans="1:8" x14ac:dyDescent="0.3">
      <c r="A38" s="1" t="s">
        <v>84</v>
      </c>
      <c r="B38" s="1" t="s">
        <v>85</v>
      </c>
      <c r="C38" s="1" t="s">
        <v>73</v>
      </c>
      <c r="D38" s="1">
        <v>95</v>
      </c>
      <c r="E38" s="1">
        <v>45</v>
      </c>
      <c r="F38" s="1">
        <v>15</v>
      </c>
      <c r="G38" s="1">
        <v>20</v>
      </c>
      <c r="H38" s="1" t="str">
        <f t="shared" si="1"/>
        <v>Reorder</v>
      </c>
    </row>
    <row r="39" spans="1:8" x14ac:dyDescent="0.3">
      <c r="A39" s="1" t="s">
        <v>86</v>
      </c>
      <c r="B39" s="1" t="s">
        <v>87</v>
      </c>
      <c r="C39" s="1" t="s">
        <v>73</v>
      </c>
      <c r="D39" s="1">
        <v>130</v>
      </c>
      <c r="E39" s="1">
        <v>80</v>
      </c>
      <c r="F39" s="1">
        <v>20</v>
      </c>
      <c r="G39" s="1">
        <v>25</v>
      </c>
      <c r="H39" s="1" t="str">
        <f t="shared" si="1"/>
        <v>Reorder</v>
      </c>
    </row>
    <row r="40" spans="1:8" x14ac:dyDescent="0.3">
      <c r="A40" s="1" t="s">
        <v>88</v>
      </c>
      <c r="B40" s="1" t="s">
        <v>89</v>
      </c>
      <c r="C40" s="1" t="s">
        <v>73</v>
      </c>
      <c r="D40" s="1">
        <v>85</v>
      </c>
      <c r="E40" s="1">
        <v>35</v>
      </c>
      <c r="F40" s="1">
        <f t="shared" si="0"/>
        <v>50</v>
      </c>
      <c r="G40" s="1">
        <v>15</v>
      </c>
      <c r="H40" s="1" t="str">
        <f t="shared" si="1"/>
        <v>OK</v>
      </c>
    </row>
    <row r="41" spans="1:8" x14ac:dyDescent="0.3">
      <c r="A41" s="1" t="s">
        <v>90</v>
      </c>
      <c r="B41" s="1" t="s">
        <v>91</v>
      </c>
      <c r="C41" s="1" t="s">
        <v>73</v>
      </c>
      <c r="D41" s="1">
        <v>75</v>
      </c>
      <c r="E41" s="1">
        <v>30</v>
      </c>
      <c r="F41" s="1">
        <v>10</v>
      </c>
      <c r="G41" s="1">
        <v>15</v>
      </c>
      <c r="H41" s="1" t="str">
        <f t="shared" si="1"/>
        <v>Reorder</v>
      </c>
    </row>
  </sheetData>
  <conditionalFormatting sqref="F2:F41">
    <cfRule type="expression" dxfId="0" priority="1">
      <formula>F2&lt;G2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9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3" t="s">
        <v>93</v>
      </c>
      <c r="B3" t="s">
        <v>92</v>
      </c>
    </row>
    <row r="4" spans="1:2" x14ac:dyDescent="0.3">
      <c r="A4" s="4" t="s">
        <v>73</v>
      </c>
      <c r="B4" s="2">
        <v>336</v>
      </c>
    </row>
    <row r="5" spans="1:2" x14ac:dyDescent="0.3">
      <c r="A5" s="4" t="s">
        <v>10</v>
      </c>
      <c r="B5" s="2">
        <v>525</v>
      </c>
    </row>
    <row r="6" spans="1:2" x14ac:dyDescent="0.3">
      <c r="A6" s="4" t="s">
        <v>52</v>
      </c>
      <c r="B6" s="2">
        <v>169</v>
      </c>
    </row>
    <row r="7" spans="1:2" x14ac:dyDescent="0.3">
      <c r="A7" s="4" t="s">
        <v>31</v>
      </c>
      <c r="B7" s="2">
        <v>447</v>
      </c>
    </row>
    <row r="8" spans="1:2" x14ac:dyDescent="0.3">
      <c r="A8" s="4" t="s">
        <v>94</v>
      </c>
      <c r="B8" s="2">
        <v>1477</v>
      </c>
    </row>
    <row r="19" spans="5:8" ht="33.6" x14ac:dyDescent="0.3">
      <c r="E19" s="6" t="s">
        <v>99</v>
      </c>
      <c r="F19" s="6"/>
      <c r="G19" s="7"/>
      <c r="H19" s="7"/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4"/>
  <sheetViews>
    <sheetView topLeftCell="A5" workbookViewId="0">
      <selection activeCell="K31" sqref="K31"/>
    </sheetView>
  </sheetViews>
  <sheetFormatPr defaultRowHeight="14.4" x14ac:dyDescent="0.3"/>
  <cols>
    <col min="1" max="1" width="14" bestFit="1" customWidth="1"/>
    <col min="2" max="2" width="16.33203125" bestFit="1" customWidth="1"/>
  </cols>
  <sheetData>
    <row r="3" spans="1:2" x14ac:dyDescent="0.3">
      <c r="A3" s="3" t="s">
        <v>93</v>
      </c>
      <c r="B3" t="s">
        <v>95</v>
      </c>
    </row>
    <row r="4" spans="1:2" x14ac:dyDescent="0.3">
      <c r="A4" s="4" t="s">
        <v>75</v>
      </c>
      <c r="B4" s="2">
        <v>40</v>
      </c>
    </row>
    <row r="5" spans="1:2" x14ac:dyDescent="0.3">
      <c r="A5" s="4" t="s">
        <v>56</v>
      </c>
      <c r="B5" s="2">
        <v>10</v>
      </c>
    </row>
    <row r="6" spans="1:2" x14ac:dyDescent="0.3">
      <c r="A6" s="4" t="s">
        <v>89</v>
      </c>
      <c r="B6" s="2">
        <v>35</v>
      </c>
    </row>
    <row r="7" spans="1:2" x14ac:dyDescent="0.3">
      <c r="A7" s="4" t="s">
        <v>64</v>
      </c>
      <c r="B7" s="2">
        <v>30</v>
      </c>
    </row>
    <row r="8" spans="1:2" x14ac:dyDescent="0.3">
      <c r="A8" s="4" t="s">
        <v>39</v>
      </c>
      <c r="B8" s="2">
        <v>70</v>
      </c>
    </row>
    <row r="9" spans="1:2" x14ac:dyDescent="0.3">
      <c r="A9" s="4" t="s">
        <v>43</v>
      </c>
      <c r="B9" s="2">
        <v>60</v>
      </c>
    </row>
    <row r="10" spans="1:2" x14ac:dyDescent="0.3">
      <c r="A10" s="4" t="s">
        <v>68</v>
      </c>
      <c r="B10" s="2">
        <v>9</v>
      </c>
    </row>
    <row r="11" spans="1:2" x14ac:dyDescent="0.3">
      <c r="A11" s="4" t="s">
        <v>20</v>
      </c>
      <c r="B11" s="2">
        <v>70</v>
      </c>
    </row>
    <row r="12" spans="1:2" x14ac:dyDescent="0.3">
      <c r="A12" s="4" t="s">
        <v>24</v>
      </c>
      <c r="B12" s="2">
        <v>45</v>
      </c>
    </row>
    <row r="13" spans="1:2" x14ac:dyDescent="0.3">
      <c r="A13" s="4" t="s">
        <v>45</v>
      </c>
      <c r="B13" s="2">
        <v>50</v>
      </c>
    </row>
    <row r="14" spans="1:2" x14ac:dyDescent="0.3">
      <c r="A14" s="4" t="s">
        <v>9</v>
      </c>
      <c r="B14" s="2">
        <v>40</v>
      </c>
    </row>
    <row r="15" spans="1:2" x14ac:dyDescent="0.3">
      <c r="A15" s="4" t="s">
        <v>16</v>
      </c>
      <c r="B15" s="2">
        <v>20</v>
      </c>
    </row>
    <row r="16" spans="1:2" x14ac:dyDescent="0.3">
      <c r="A16" s="4" t="s">
        <v>77</v>
      </c>
      <c r="B16" s="2">
        <v>50</v>
      </c>
    </row>
    <row r="17" spans="1:7" x14ac:dyDescent="0.3">
      <c r="A17" s="4" t="s">
        <v>37</v>
      </c>
      <c r="B17" s="2">
        <v>60</v>
      </c>
    </row>
    <row r="18" spans="1:7" x14ac:dyDescent="0.3">
      <c r="A18" s="4" t="s">
        <v>60</v>
      </c>
      <c r="B18" s="2">
        <v>7</v>
      </c>
    </row>
    <row r="19" spans="1:7" x14ac:dyDescent="0.3">
      <c r="A19" s="4" t="s">
        <v>26</v>
      </c>
      <c r="B19" s="2">
        <v>25</v>
      </c>
    </row>
    <row r="20" spans="1:7" x14ac:dyDescent="0.3">
      <c r="A20" s="4" t="s">
        <v>79</v>
      </c>
      <c r="B20" s="2">
        <v>30</v>
      </c>
    </row>
    <row r="21" spans="1:7" x14ac:dyDescent="0.3">
      <c r="A21" s="4" t="s">
        <v>14</v>
      </c>
      <c r="B21" s="2">
        <v>30</v>
      </c>
    </row>
    <row r="22" spans="1:7" x14ac:dyDescent="0.3">
      <c r="A22" s="4" t="s">
        <v>12</v>
      </c>
      <c r="B22" s="2">
        <v>60</v>
      </c>
    </row>
    <row r="23" spans="1:7" x14ac:dyDescent="0.3">
      <c r="A23" s="4" t="s">
        <v>87</v>
      </c>
      <c r="B23" s="2">
        <v>80</v>
      </c>
    </row>
    <row r="24" spans="1:7" x14ac:dyDescent="0.3">
      <c r="A24" s="4" t="s">
        <v>30</v>
      </c>
      <c r="B24" s="2">
        <v>120</v>
      </c>
    </row>
    <row r="25" spans="1:7" x14ac:dyDescent="0.3">
      <c r="A25" s="4" t="s">
        <v>51</v>
      </c>
      <c r="B25" s="2">
        <v>10</v>
      </c>
    </row>
    <row r="26" spans="1:7" x14ac:dyDescent="0.3">
      <c r="A26" s="4" t="s">
        <v>54</v>
      </c>
      <c r="B26" s="2">
        <v>15</v>
      </c>
    </row>
    <row r="27" spans="1:7" x14ac:dyDescent="0.3">
      <c r="A27" s="4" t="s">
        <v>49</v>
      </c>
      <c r="B27" s="2">
        <v>90</v>
      </c>
    </row>
    <row r="28" spans="1:7" x14ac:dyDescent="0.3">
      <c r="A28" s="4" t="s">
        <v>33</v>
      </c>
      <c r="B28" s="2">
        <v>100</v>
      </c>
    </row>
    <row r="29" spans="1:7" x14ac:dyDescent="0.3">
      <c r="A29" s="4" t="s">
        <v>35</v>
      </c>
      <c r="B29" s="2">
        <v>40</v>
      </c>
    </row>
    <row r="30" spans="1:7" ht="33.6" x14ac:dyDescent="0.65">
      <c r="A30" s="4" t="s">
        <v>91</v>
      </c>
      <c r="B30" s="2">
        <v>30</v>
      </c>
      <c r="F30" s="5" t="s">
        <v>100</v>
      </c>
      <c r="G30" s="5"/>
    </row>
    <row r="31" spans="1:7" x14ac:dyDescent="0.3">
      <c r="A31" s="4" t="s">
        <v>28</v>
      </c>
      <c r="B31" s="2">
        <v>50</v>
      </c>
    </row>
    <row r="32" spans="1:7" x14ac:dyDescent="0.3">
      <c r="A32" s="4" t="s">
        <v>66</v>
      </c>
      <c r="B32" s="2">
        <v>12</v>
      </c>
    </row>
    <row r="33" spans="1:2" x14ac:dyDescent="0.3">
      <c r="A33" s="4" t="s">
        <v>70</v>
      </c>
      <c r="B33" s="2">
        <v>5</v>
      </c>
    </row>
    <row r="34" spans="1:2" x14ac:dyDescent="0.3">
      <c r="A34" s="4" t="s">
        <v>83</v>
      </c>
      <c r="B34" s="2">
        <v>70</v>
      </c>
    </row>
    <row r="35" spans="1:2" x14ac:dyDescent="0.3">
      <c r="A35" s="4" t="s">
        <v>47</v>
      </c>
      <c r="B35" s="2">
        <v>25</v>
      </c>
    </row>
    <row r="36" spans="1:2" x14ac:dyDescent="0.3">
      <c r="A36" s="4" t="s">
        <v>41</v>
      </c>
      <c r="B36" s="2">
        <v>80</v>
      </c>
    </row>
    <row r="37" spans="1:2" x14ac:dyDescent="0.3">
      <c r="A37" s="4" t="s">
        <v>58</v>
      </c>
      <c r="B37" s="2">
        <v>8</v>
      </c>
    </row>
    <row r="38" spans="1:2" x14ac:dyDescent="0.3">
      <c r="A38" s="4" t="s">
        <v>81</v>
      </c>
      <c r="B38" s="2">
        <v>25</v>
      </c>
    </row>
    <row r="39" spans="1:2" x14ac:dyDescent="0.3">
      <c r="A39" s="4" t="s">
        <v>18</v>
      </c>
      <c r="B39" s="2">
        <v>90</v>
      </c>
    </row>
    <row r="40" spans="1:2" x14ac:dyDescent="0.3">
      <c r="A40" s="4" t="s">
        <v>85</v>
      </c>
      <c r="B40" s="2">
        <v>45</v>
      </c>
    </row>
    <row r="41" spans="1:2" x14ac:dyDescent="0.3">
      <c r="A41" s="4" t="s">
        <v>72</v>
      </c>
      <c r="B41" s="2">
        <v>60</v>
      </c>
    </row>
    <row r="42" spans="1:2" x14ac:dyDescent="0.3">
      <c r="A42" s="4" t="s">
        <v>22</v>
      </c>
      <c r="B42" s="2">
        <v>15</v>
      </c>
    </row>
    <row r="43" spans="1:2" x14ac:dyDescent="0.3">
      <c r="A43" s="4" t="s">
        <v>62</v>
      </c>
      <c r="B43" s="2">
        <v>20</v>
      </c>
    </row>
    <row r="44" spans="1:2" x14ac:dyDescent="0.3">
      <c r="A44" s="4" t="s">
        <v>94</v>
      </c>
      <c r="B44" s="2">
        <v>1731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20"/>
  <sheetViews>
    <sheetView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93</v>
      </c>
      <c r="B3" t="s">
        <v>98</v>
      </c>
    </row>
    <row r="4" spans="1:2" x14ac:dyDescent="0.3">
      <c r="A4" s="4" t="s">
        <v>96</v>
      </c>
      <c r="B4" s="2">
        <v>31</v>
      </c>
    </row>
    <row r="5" spans="1:2" x14ac:dyDescent="0.3">
      <c r="A5" s="4" t="s">
        <v>97</v>
      </c>
      <c r="B5" s="2">
        <v>9</v>
      </c>
    </row>
    <row r="6" spans="1:2" x14ac:dyDescent="0.3">
      <c r="A6" s="4" t="s">
        <v>94</v>
      </c>
      <c r="B6" s="2">
        <v>40</v>
      </c>
    </row>
    <row r="20" spans="6:7" ht="33.6" x14ac:dyDescent="0.65">
      <c r="F20" s="5" t="s">
        <v>101</v>
      </c>
      <c r="G20" s="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data_stock</vt:lpstr>
      <vt:lpstr>Stock by category</vt:lpstr>
      <vt:lpstr>Top selling product</vt:lpstr>
      <vt:lpstr>Reorder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Excel.Ayush@outlook.com</cp:lastModifiedBy>
  <dcterms:created xsi:type="dcterms:W3CDTF">2026-03-24T14:41:37Z</dcterms:created>
  <dcterms:modified xsi:type="dcterms:W3CDTF">2026-03-24T14:44:52Z</dcterms:modified>
</cp:coreProperties>
</file>